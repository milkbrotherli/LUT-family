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35D1D809-6837-4A60-B4E1-CE5748356F7A}" xr6:coauthVersionLast="47" xr6:coauthVersionMax="47" xr10:uidLastSave="{00000000-0000-0000-0000-000000000000}"/>
  <bookViews>
    <workbookView xWindow="-120" yWindow="-120" windowWidth="29040" windowHeight="15720" tabRatio="674" activeTab="1" xr2:uid="{00000000-000D-0000-FFFF-FFFF00000000}"/>
  </bookViews>
  <sheets>
    <sheet name="Sheet1" sheetId="1" r:id="rId1"/>
    <sheet name="LUT-ILF++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0" l="1"/>
  <c r="I26" i="10"/>
  <c r="R34" i="10"/>
  <c r="Q22" i="10"/>
  <c r="Q20" i="10"/>
  <c r="L35" i="10"/>
  <c r="Q35" i="10"/>
  <c r="R35" i="10"/>
  <c r="P16" i="10"/>
  <c r="P15" i="10"/>
  <c r="O13" i="10"/>
  <c r="F13" i="10"/>
  <c r="G12" i="10"/>
  <c r="P12" i="10"/>
  <c r="O6" i="10"/>
  <c r="O5" i="10"/>
  <c r="M34" i="10"/>
  <c r="L18" i="10"/>
  <c r="L13" i="10"/>
  <c r="L12" i="10"/>
  <c r="L5" i="10"/>
  <c r="F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1" i="10"/>
  <c r="P17" i="10"/>
  <c r="P6" i="10"/>
  <c r="P5" i="10"/>
  <c r="M35" i="10"/>
  <c r="O20" i="10"/>
  <c r="M32" i="10"/>
  <c r="K32" i="10"/>
  <c r="F32" i="10"/>
  <c r="D32" i="10"/>
  <c r="M20" i="10"/>
  <c r="L16" i="10"/>
  <c r="L15" i="10"/>
  <c r="M26" i="10"/>
  <c r="M27" i="10"/>
  <c r="M28" i="10"/>
  <c r="M29" i="10"/>
  <c r="M30" i="10"/>
  <c r="M31" i="10"/>
  <c r="M25" i="10"/>
  <c r="M22" i="10"/>
  <c r="M21" i="10"/>
  <c r="F31" i="10"/>
  <c r="F30" i="10"/>
  <c r="F33" i="10"/>
  <c r="G33" i="10"/>
  <c r="I28" i="10"/>
  <c r="F4" i="10" l="1"/>
  <c r="P4" i="10"/>
  <c r="O23" i="10"/>
  <c r="O22" i="10"/>
  <c r="O21" i="10"/>
  <c r="L4" i="10"/>
  <c r="L34" i="10"/>
  <c r="O28" i="10" l="1"/>
  <c r="O29" i="10"/>
  <c r="O32" i="10"/>
  <c r="O24" i="10"/>
  <c r="O26" i="10"/>
  <c r="O25" i="10"/>
  <c r="O27" i="10"/>
  <c r="K21" i="10"/>
  <c r="L17" i="10"/>
  <c r="L6" i="10"/>
  <c r="G6" i="10"/>
  <c r="G5" i="10"/>
  <c r="F6" i="10"/>
  <c r="K4" i="10"/>
  <c r="O31" i="10" l="1"/>
  <c r="O33" i="10"/>
  <c r="O30" i="10"/>
  <c r="L19" i="10"/>
  <c r="K23" i="10"/>
  <c r="M23" i="10" s="1"/>
  <c r="K20" i="10"/>
  <c r="K25" i="10"/>
  <c r="K29" i="10"/>
  <c r="K27" i="10"/>
  <c r="K22" i="10"/>
  <c r="O35" i="10" l="1"/>
  <c r="O34" i="10"/>
  <c r="K26" i="10"/>
  <c r="K35" i="10"/>
  <c r="K28" i="10"/>
  <c r="K31" i="10"/>
  <c r="K24" i="10"/>
  <c r="K33" i="10" l="1"/>
  <c r="M33" i="10" s="1"/>
  <c r="K30" i="10"/>
  <c r="M24" i="10"/>
  <c r="K34" i="10" l="1"/>
  <c r="F21" i="10" l="1"/>
  <c r="D21" i="10"/>
  <c r="B21" i="10"/>
  <c r="C4" i="10"/>
  <c r="G4" i="10" s="1"/>
  <c r="B4" i="10"/>
  <c r="C12" i="10" s="1"/>
  <c r="C15" i="10" l="1"/>
  <c r="B20" i="10" s="1"/>
  <c r="C16" i="10"/>
  <c r="B23" i="10" s="1"/>
  <c r="B29" i="10" s="1"/>
  <c r="F27" i="10"/>
  <c r="I27" i="10" s="1"/>
  <c r="B27" i="10"/>
  <c r="D27" i="10"/>
  <c r="C17" i="10"/>
  <c r="D4" i="10"/>
  <c r="C18" i="10"/>
  <c r="B26" i="10" l="1"/>
  <c r="B22" i="10"/>
  <c r="B28" i="10" s="1"/>
  <c r="B25" i="10"/>
  <c r="B31" i="10" s="1"/>
  <c r="E12" i="10"/>
  <c r="E19" i="10"/>
  <c r="E18" i="10"/>
  <c r="E17" i="10"/>
  <c r="E16" i="10"/>
  <c r="E15" i="10"/>
  <c r="D20" i="10" s="1"/>
  <c r="G17" i="10" l="1"/>
  <c r="G15" i="10"/>
  <c r="B32" i="10"/>
  <c r="B33" i="10" s="1"/>
  <c r="B24" i="10"/>
  <c r="B30" i="10" s="1"/>
  <c r="D26" i="10"/>
  <c r="D23" i="10"/>
  <c r="G19" i="10"/>
  <c r="G18" i="10"/>
  <c r="G16" i="10"/>
  <c r="F20" i="10"/>
  <c r="D22" i="10"/>
  <c r="D28" i="10" s="1"/>
  <c r="F23" i="10" l="1"/>
  <c r="F25" i="10" s="1"/>
  <c r="F26" i="10"/>
  <c r="F22" i="10"/>
  <c r="F28" i="10" s="1"/>
  <c r="D29" i="10"/>
  <c r="D25" i="10"/>
  <c r="D31" i="10" s="1"/>
  <c r="D33" i="10"/>
  <c r="D24" i="10"/>
  <c r="D30" i="10" s="1"/>
  <c r="F29" i="10" l="1"/>
  <c r="I29" i="10" s="1"/>
  <c r="F24" i="10"/>
  <c r="B4" i="1" l="1"/>
  <c r="B21" i="1" l="1"/>
  <c r="F21" i="1"/>
  <c r="D21" i="1"/>
  <c r="D4" i="1"/>
  <c r="F4" i="1" s="1"/>
  <c r="C18" i="1"/>
  <c r="C17" i="1"/>
  <c r="B22" i="1" s="1"/>
  <c r="C16" i="1"/>
  <c r="B23" i="1" s="1"/>
  <c r="C15" i="1"/>
  <c r="B20" i="1" s="1"/>
  <c r="C4" i="1"/>
  <c r="E4" i="1" s="1"/>
  <c r="G4" i="1" l="1"/>
  <c r="D27" i="1"/>
  <c r="F27" i="1"/>
  <c r="B27" i="1"/>
  <c r="B28" i="1"/>
  <c r="B26" i="1"/>
  <c r="B29" i="1"/>
  <c r="G17" i="1"/>
  <c r="G15" i="1"/>
  <c r="F20" i="1" s="1"/>
  <c r="G18" i="1"/>
  <c r="G16" i="1"/>
  <c r="G19" i="1"/>
  <c r="E15" i="1"/>
  <c r="D20" i="1" s="1"/>
  <c r="E16" i="1"/>
  <c r="D23" i="1" s="1"/>
  <c r="E18" i="1"/>
  <c r="E17" i="1"/>
  <c r="B32" i="1"/>
  <c r="B33" i="1" s="1"/>
  <c r="B25" i="1"/>
  <c r="B31" i="1" s="1"/>
  <c r="B24" i="1"/>
  <c r="B30" i="1" s="1"/>
  <c r="F26" i="1" l="1"/>
  <c r="F23" i="1"/>
  <c r="F29" i="1" s="1"/>
  <c r="D22" i="1"/>
  <c r="D28" i="1" s="1"/>
  <c r="F22" i="1"/>
  <c r="F28" i="1" s="1"/>
  <c r="D25" i="1"/>
  <c r="D31" i="1" s="1"/>
  <c r="D29" i="1"/>
  <c r="D26" i="1"/>
  <c r="D24" i="1" l="1"/>
  <c r="D30" i="1" s="1"/>
  <c r="F25" i="1"/>
  <c r="F31" i="1" s="1"/>
  <c r="D32" i="1"/>
  <c r="D33" i="1" s="1"/>
  <c r="F24" i="1"/>
  <c r="F30" i="1" s="1"/>
  <c r="F32" i="1"/>
  <c r="F33" i="1" s="1"/>
</calcChain>
</file>

<file path=xl/sharedStrings.xml><?xml version="1.0" encoding="utf-8"?>
<sst xmlns="http://schemas.openxmlformats.org/spreadsheetml/2006/main" count="99" uniqueCount="56">
  <si>
    <t>[B] int8 Add</t>
  </si>
  <si>
    <t>[C] int8 Mult</t>
  </si>
  <si>
    <t>[E] int8 Add</t>
  </si>
  <si>
    <t>[G] int 8 Add</t>
  </si>
  <si>
    <t>[H] int32 Mult</t>
  </si>
  <si>
    <t>[I] int32 Add</t>
  </si>
  <si>
    <t>[J] int32 Add</t>
  </si>
  <si>
    <t>[K] int32 Mult</t>
  </si>
  <si>
    <t>int8 Add(N)</t>
  </si>
  <si>
    <t>int8 Mult(N)</t>
  </si>
  <si>
    <t>int32 Add(N)</t>
  </si>
  <si>
    <t>int32 Mult(N)</t>
  </si>
  <si>
    <t>Total Add(N)</t>
  </si>
  <si>
    <t>Total Mult(N)</t>
  </si>
  <si>
    <t>int8 Add(All)</t>
  </si>
  <si>
    <t>int8 Mult(All)</t>
  </si>
  <si>
    <t>int32 Add(All)</t>
  </si>
  <si>
    <t>int32 Mult(All)</t>
  </si>
  <si>
    <t>Total Add(All)</t>
  </si>
  <si>
    <t>Total Mult(All)</t>
  </si>
  <si>
    <t>E-Pixel(pJ)</t>
  </si>
  <si>
    <t>E-HD(pJ)</t>
  </si>
  <si>
    <t>[A] int8 Mult</t>
    <phoneticPr fontId="2" type="noConversion"/>
  </si>
  <si>
    <t>cSR-LUT</t>
    <phoneticPr fontId="2" type="noConversion"/>
  </si>
  <si>
    <t>factor</t>
    <phoneticPr fontId="2" type="noConversion"/>
  </si>
  <si>
    <t>scale</t>
    <phoneticPr fontId="2" type="noConversion"/>
  </si>
  <si>
    <t>HR</t>
    <phoneticPr fontId="2" type="noConversion"/>
  </si>
  <si>
    <t>LR</t>
    <phoneticPr fontId="2" type="noConversion"/>
  </si>
  <si>
    <t>[A0] int8 Add</t>
    <phoneticPr fontId="2" type="noConversion"/>
  </si>
  <si>
    <t>[A1] int8 Add</t>
    <phoneticPr fontId="2" type="noConversion"/>
  </si>
  <si>
    <t>[D] int32 Add</t>
    <phoneticPr fontId="2" type="noConversion"/>
  </si>
  <si>
    <t>[D2] int32 Mult</t>
    <phoneticPr fontId="2" type="noConversion"/>
  </si>
  <si>
    <t>[D3] int32 Add</t>
    <phoneticPr fontId="2" type="noConversion"/>
  </si>
  <si>
    <t xml:space="preserve">[F] </t>
    <phoneticPr fontId="2" type="noConversion"/>
  </si>
  <si>
    <t>Operation</t>
    <phoneticPr fontId="2" type="noConversion"/>
  </si>
  <si>
    <t>Addition(pJ)</t>
    <phoneticPr fontId="2" type="noConversion"/>
  </si>
  <si>
    <t>Multiplication(pJ)</t>
    <phoneticPr fontId="2" type="noConversion"/>
  </si>
  <si>
    <t>8bit</t>
    <phoneticPr fontId="2" type="noConversion"/>
  </si>
  <si>
    <t>32bit</t>
    <phoneticPr fontId="2" type="noConversion"/>
  </si>
  <si>
    <t>16FP</t>
    <phoneticPr fontId="2" type="noConversion"/>
  </si>
  <si>
    <t>32FP</t>
    <phoneticPr fontId="2" type="noConversion"/>
  </si>
  <si>
    <t>cSR-LUT-interp</t>
    <phoneticPr fontId="2" type="noConversion"/>
  </si>
  <si>
    <t>cX2sdy</t>
    <phoneticPr fontId="2" type="noConversion"/>
  </si>
  <si>
    <t>channel-4x4</t>
    <phoneticPr fontId="2" type="noConversion"/>
  </si>
  <si>
    <t>total</t>
    <phoneticPr fontId="2" type="noConversion"/>
  </si>
  <si>
    <t>Ops/pixel</t>
    <phoneticPr fontId="9" type="noConversion"/>
  </si>
  <si>
    <t>PJ/pixel</t>
    <phoneticPr fontId="9" type="noConversion"/>
  </si>
  <si>
    <t>LUT-ILF++ (Y)</t>
    <phoneticPr fontId="2" type="noConversion"/>
  </si>
  <si>
    <t>LUT-ILF++ (U)</t>
    <phoneticPr fontId="2" type="noConversion"/>
  </si>
  <si>
    <t>Total with Channel</t>
    <phoneticPr fontId="2" type="noConversion"/>
  </si>
  <si>
    <t>(Channel 3*3)</t>
    <phoneticPr fontId="2" type="noConversion"/>
  </si>
  <si>
    <t xml:space="preserve"> </t>
    <phoneticPr fontId="2" type="noConversion"/>
  </si>
  <si>
    <t>Y+U+V</t>
    <phoneticPr fontId="2" type="noConversion"/>
  </si>
  <si>
    <t>LUT</t>
    <phoneticPr fontId="2" type="noConversion"/>
  </si>
  <si>
    <t>LUT-spatial</t>
    <phoneticPr fontId="2" type="noConversion"/>
  </si>
  <si>
    <t>LUT-SDY-X2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</si>
</sst>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family val="2"/>
      <scheme val="minor"/>
    </font>
    <font>
      <sz val="10"/>
      <color indexed="8"/>
      <name val="Helvetica Neue"/>
      <family val="2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rgb="FFEE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color rgb="FF7030A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Protection="0">
      <alignment vertical="top" wrapText="1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3" fillId="2" borderId="1" xfId="0" applyFont="1" applyFill="1" applyBorder="1"/>
    <xf numFmtId="0" fontId="3" fillId="2" borderId="0" xfId="0" applyFont="1" applyFill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5" fillId="3" borderId="0" xfId="0" applyFont="1" applyFill="1"/>
    <xf numFmtId="0" fontId="0" fillId="4" borderId="0" xfId="0" applyFill="1"/>
    <xf numFmtId="0" fontId="10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</cellXfs>
  <cellStyles count="4">
    <cellStyle name="常规" xfId="0" builtinId="0"/>
    <cellStyle name="常规 2" xfId="1" xr:uid="{00000000-0005-0000-0000-00002F000000}"/>
    <cellStyle name="千位分隔 2" xfId="2" xr:uid="{00000000-0005-0000-0000-000030000000}"/>
    <cellStyle name="千位分隔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38</xdr:row>
      <xdr:rowOff>114300</xdr:rowOff>
    </xdr:from>
    <xdr:to>
      <xdr:col>26</xdr:col>
      <xdr:colOff>76200</xdr:colOff>
      <xdr:row>89</xdr:row>
      <xdr:rowOff>152400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1EDA84D-3829-4879-8D38-09799355389A}"/>
            </a:ext>
          </a:extLst>
        </xdr:cNvPr>
        <xdr:cNvSpPr txBox="1"/>
      </xdr:nvSpPr>
      <xdr:spPr>
        <a:xfrm>
          <a:off x="190500" y="6774180"/>
          <a:ext cx="16184880" cy="8976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latinLnBrk="0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索引判断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[A0] 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减法 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+1 int8 Add: index_flag_xy = (torch.abs(img_x - img_y) &lt;= self.d*q)</a:t>
          </a:r>
        </a:p>
        <a:p>
          <a:pPr rtl="0" latinLnBrk="0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[A1] 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比较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+1 int8 Add: torch.abs(img_x - img_y) &lt;= self.d*q</a:t>
          </a:r>
        </a:p>
        <a:p>
          <a:pPr rtl="0" latinLnBrk="0"/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乘数N（至多算N次）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[A] 整除 X4 int8 Mult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img_a1 = img_in[:, 0:0+h, 0:0+w] //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img_b1 = img_in[:, 0:0+h, 1:1+w] //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img_c1 = img_in[:, 1:1+h, 0:0+w] //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img_d1 = img_in[:, 1:1+h, 1:1+w] // q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[B] 加法 +4 int8 Add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img_a2 = img_a1 + 1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img_b2 = img_b1 + 1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img_c2 = img_c1 + 1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img_d2 = img_d1 + 1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[C] 取余 X4 int8 Mult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fa_ = img_in[:, 0:0+h, 0:0+w] %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fb_ = img_in[:, 0:0+h, 1:1+w] %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fc_ = img_in[:, 1:1+h, 0:0+w] %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fd_ = img_in[:, 1:1+h, 1:1+w] % q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查表（算坐标）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[D] 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+1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int32 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img_b1 - img_a1</a:t>
          </a:r>
        </a:p>
        <a:p>
          <a:pPr rtl="0" latinLnBrk="0"/>
          <a:r>
            <a:rPr lang="en-US" altLang="zh-CN">
              <a:effectLst/>
            </a:rPr>
            <a:t>k00 = self.ref2index[img_a1, img_b1 - img_a1]</a:t>
          </a:r>
        </a:p>
        <a:p>
          <a:pPr rtl="0" latinLnBrk="0"/>
          <a:r>
            <a:rPr lang="en-US" altLang="zh-CN">
              <a:effectLst/>
            </a:rPr>
            <a:t># [D2] X1</a:t>
          </a:r>
          <a:r>
            <a:rPr lang="en-US" altLang="zh-CN" baseline="0">
              <a:effectLst/>
            </a:rPr>
            <a:t> int32 Mult: img_c1*L+img_d1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baseline="0">
              <a:effectLst/>
            </a:rPr>
            <a:t># [D3] +1 int32 Add: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img_c1*L+img_d1</a:t>
          </a:r>
          <a:endParaRPr lang="en-US" altLang="zh-CN">
            <a:effectLst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乘数N（r^2, 3 or 1, 4）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插值： +4.5（比较） X6（角点乘法，除法）+8（角点加法、插值加法）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[E]比较排序：X4.5 int8 Add: fa &gt; fb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[F]查表坐标：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无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[G]角点距离：+4 int8 Add: q-fa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[H]插值：X6 int32 Mult: (q-fa)*p0000[c,y,x]... out/4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[I]插值：+4 int32 Add: (q-fa) * p0000[c,y,x] + (fa-fb) * p1000[c,y,x]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fa &gt; fb: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if fb &gt; fc: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if fc &gt; fd: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out[c,y,x] = (q-fa) * p0000[c,y,x] + (fa-fb) * p1000[c,y,x] + (fb-fc) * p1100[c,y,x] + (fc-fd) * p1110[c,y,x] + (fd) * p1111[c,y,x]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 / q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乘数N（r^2）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聚合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[J] +3or11 int32 Add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[K] X1 int32 Mult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 = (out_s1s_r0 + ..... ) / 12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18</xdr:col>
      <xdr:colOff>45720</xdr:colOff>
      <xdr:row>93</xdr:row>
      <xdr:rowOff>38100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A0C10ECB-2CA9-4EA3-BAFB-B81DEB0C86D3}"/>
            </a:ext>
          </a:extLst>
        </xdr:cNvPr>
        <xdr:cNvSpPr txBox="1"/>
      </xdr:nvSpPr>
      <xdr:spPr>
        <a:xfrm>
          <a:off x="0" y="7419975"/>
          <a:ext cx="20499070" cy="9267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latinLnBrk="0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索引判断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[A0] 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减法 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+3 int8 Add: index_flag_xy = (torch.abs(img_x - img_y) &lt;= self.d*q), index_flag_xz, index_flag_xt</a:t>
          </a:r>
        </a:p>
        <a:p>
          <a:pPr rtl="0" latinLnBrk="0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[A1] 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比较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+3 int8 Add: torch.abs(img_x - img_y) &lt;= self.d*q</a:t>
          </a:r>
        </a:p>
        <a:p>
          <a:pPr rtl="0" latinLnBrk="0"/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乘数N（至多算N次）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[A] 整除 X4 int8 Mult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img_a1 = img_in[:, 0:0+h, 0:0+w] //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img_b1 = img_in[:, 0:0+h, 1:1+w] //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img_c1 = img_in[:, 1:1+h, 0:0+w] //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img_d1 = img_in[:, 1:1+h, 1:1+w] // q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[B] 加法 +4 int8 Add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img_a2 = img_a1 + 1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img_b2 = img_b1 + 1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img_c2 = img_c1 + 1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img_d2 = img_d1 + 1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[C] 取余 X4 int8 Mult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fa_ = img_in[:, 0:0+h, 0:0+w] %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fb_ = img_in[:, 0:0+h, 1:1+w] %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fc_ = img_in[:, 1:1+h, 0:0+w] % q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fd_ = img_in[:, 1:1+h, 1:1+w] % q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查表（算坐标）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[D] 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+3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int32 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img_b1 - img_a1</a:t>
          </a:r>
        </a:p>
        <a:p>
          <a:pPr rtl="0" latinLnBrk="0"/>
          <a:r>
            <a:rPr lang="en-US" altLang="zh-CN">
              <a:effectLst/>
            </a:rPr>
            <a:t>k0000 = self.ref2index[img_a1, img_b1 - img_a1, img_c1 - img_a1, img_d1 - img_a1]</a:t>
          </a:r>
        </a:p>
        <a:p>
          <a:pPr rtl="0" latinLnBrk="0"/>
          <a:r>
            <a:rPr lang="en-US" altLang="zh-CN">
              <a:effectLst/>
            </a:rPr>
            <a:t># [D2]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X3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int32 Mult (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img_a1, img_b1 - img_a1, img_c1 - img_a1, img_d1 - img_a1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转换成一维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r>
            <a:rPr lang="en-US" altLang="zh-CN" baseline="0">
              <a:effectLst/>
            </a:rPr>
            <a:t># [D3] +4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int32 Add</a:t>
          </a:r>
          <a:endParaRPr lang="en-US" altLang="zh-CN">
            <a:effectLst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乘数N（r^2, 3 or 1, 4）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插值： +4.5（比较） X6（角点乘法，除法）+8（角点加法、插值加法）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[E]比较排序：X4.5 int8 Add: fa &gt; fb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[F]查表坐标：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无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[G]角点距离：+4 int8 Add: q-fa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[H]插值：X6 int32 Mult: (q-fa)*p0000[c,y,x]... out/4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[I]插值：+4 int32 Add: (q-fa) * p0000[c,y,x] + (fa-fb) * p1000[c,y,x]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fa &gt; fb: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if fb &gt; fc: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if fc &gt; fd: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out[c,y,x] = (q-fa) * p0000[c,y,x] + (fa-fb) * p1000[c,y,x] + (fb-fc) * p1100[c,y,x] + (fc-fd) * p1110[c,y,x] + (fd) * p1111[c,y,x]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 / q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latinLnBrk="0"/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乘数N（r^2）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聚合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[J] +3or11 int32 Add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[K] X1 int32 Mult</a:t>
          </a:r>
          <a:endParaRPr lang="zh-CN" altLang="zh-CN">
            <a:effectLst/>
          </a:endParaRPr>
        </a:p>
        <a:p>
          <a:pPr rtl="0" latinLnBrk="0"/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 = (out_s1s_r0 + ..... ) / 12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workbookViewId="0">
      <selection activeCell="C4" sqref="C4"/>
    </sheetView>
  </sheetViews>
  <sheetFormatPr defaultRowHeight="14.25"/>
  <cols>
    <col min="1" max="1" width="18" bestFit="1" customWidth="1"/>
    <col min="2" max="2" width="10.625" bestFit="1" customWidth="1"/>
    <col min="4" max="4" width="15.25" bestFit="1" customWidth="1"/>
    <col min="6" max="6" width="10.625" bestFit="1" customWidth="1"/>
  </cols>
  <sheetData>
    <row r="1" spans="1:7">
      <c r="B1" t="s">
        <v>23</v>
      </c>
      <c r="C1" t="s">
        <v>24</v>
      </c>
      <c r="D1" t="s">
        <v>41</v>
      </c>
      <c r="F1" t="s">
        <v>42</v>
      </c>
    </row>
    <row r="2" spans="1:7">
      <c r="B2">
        <v>1280</v>
      </c>
      <c r="C2">
        <v>720</v>
      </c>
      <c r="D2" t="s">
        <v>26</v>
      </c>
    </row>
    <row r="3" spans="1:7">
      <c r="A3" t="s">
        <v>25</v>
      </c>
      <c r="B3">
        <v>640</v>
      </c>
      <c r="C3">
        <v>360</v>
      </c>
      <c r="D3" t="s">
        <v>27</v>
      </c>
    </row>
    <row r="4" spans="1:7">
      <c r="A4">
        <v>2</v>
      </c>
      <c r="B4">
        <f>A4*A4</f>
        <v>4</v>
      </c>
      <c r="C4">
        <f>B$3*C$3</f>
        <v>230400</v>
      </c>
      <c r="D4">
        <f>B$4</f>
        <v>4</v>
      </c>
      <c r="E4">
        <f>C$4</f>
        <v>230400</v>
      </c>
      <c r="F4">
        <f>D$4</f>
        <v>4</v>
      </c>
      <c r="G4">
        <f>E$4</f>
        <v>230400</v>
      </c>
    </row>
    <row r="5" spans="1:7">
      <c r="A5" s="1" t="s">
        <v>28</v>
      </c>
      <c r="B5">
        <v>1</v>
      </c>
      <c r="C5">
        <v>4</v>
      </c>
      <c r="D5">
        <v>1</v>
      </c>
      <c r="E5">
        <v>4</v>
      </c>
      <c r="F5">
        <v>2</v>
      </c>
      <c r="G5">
        <v>12</v>
      </c>
    </row>
    <row r="6" spans="1:7">
      <c r="A6" s="1" t="s">
        <v>29</v>
      </c>
      <c r="B6">
        <v>1</v>
      </c>
      <c r="C6">
        <v>4</v>
      </c>
      <c r="D6">
        <v>1</v>
      </c>
      <c r="E6">
        <v>4</v>
      </c>
      <c r="F6">
        <v>2</v>
      </c>
      <c r="G6">
        <v>12</v>
      </c>
    </row>
    <row r="7" spans="1:7">
      <c r="A7" s="1" t="s">
        <v>22</v>
      </c>
      <c r="B7">
        <v>1</v>
      </c>
      <c r="C7">
        <v>1</v>
      </c>
      <c r="D7">
        <v>4</v>
      </c>
      <c r="E7">
        <v>4</v>
      </c>
      <c r="F7">
        <v>2</v>
      </c>
      <c r="G7">
        <v>1</v>
      </c>
    </row>
    <row r="8" spans="1:7">
      <c r="A8" s="1" t="s">
        <v>0</v>
      </c>
      <c r="B8">
        <v>1</v>
      </c>
      <c r="C8">
        <v>1</v>
      </c>
      <c r="D8">
        <v>4</v>
      </c>
      <c r="E8">
        <v>4</v>
      </c>
      <c r="F8">
        <v>2</v>
      </c>
      <c r="G8">
        <v>1</v>
      </c>
    </row>
    <row r="9" spans="1:7">
      <c r="A9" s="1" t="s">
        <v>1</v>
      </c>
      <c r="B9">
        <v>1</v>
      </c>
      <c r="C9">
        <v>1</v>
      </c>
      <c r="D9">
        <v>4</v>
      </c>
      <c r="E9">
        <v>4</v>
      </c>
      <c r="F9">
        <v>2</v>
      </c>
      <c r="G9">
        <v>1</v>
      </c>
    </row>
    <row r="10" spans="1:7">
      <c r="A10" s="1" t="s">
        <v>30</v>
      </c>
      <c r="B10">
        <v>4</v>
      </c>
      <c r="C10">
        <v>4</v>
      </c>
      <c r="D10">
        <v>4</v>
      </c>
      <c r="E10">
        <v>4</v>
      </c>
      <c r="F10">
        <v>8</v>
      </c>
      <c r="G10">
        <v>12</v>
      </c>
    </row>
    <row r="11" spans="1:7">
      <c r="A11" s="1" t="s">
        <v>31</v>
      </c>
      <c r="B11">
        <v>16</v>
      </c>
      <c r="C11">
        <v>4</v>
      </c>
      <c r="D11">
        <v>16</v>
      </c>
      <c r="E11">
        <v>4</v>
      </c>
      <c r="F11">
        <v>32</v>
      </c>
      <c r="G11">
        <v>12</v>
      </c>
    </row>
    <row r="12" spans="1:7">
      <c r="A12" s="1" t="s">
        <v>32</v>
      </c>
      <c r="B12">
        <v>16</v>
      </c>
      <c r="C12">
        <v>4</v>
      </c>
      <c r="D12">
        <v>16</v>
      </c>
      <c r="E12">
        <v>4</v>
      </c>
      <c r="F12">
        <v>32</v>
      </c>
      <c r="G12">
        <v>12</v>
      </c>
    </row>
    <row r="13" spans="1:7">
      <c r="A13" s="1" t="s">
        <v>2</v>
      </c>
      <c r="B13">
        <v>4.5</v>
      </c>
      <c r="C13">
        <v>4</v>
      </c>
      <c r="D13">
        <v>0</v>
      </c>
      <c r="E13">
        <v>4</v>
      </c>
      <c r="F13">
        <v>9</v>
      </c>
      <c r="G13">
        <v>12</v>
      </c>
    </row>
    <row r="14" spans="1:7">
      <c r="A14" s="1" t="s">
        <v>33</v>
      </c>
    </row>
    <row r="15" spans="1:7">
      <c r="A15" s="1" t="s">
        <v>3</v>
      </c>
      <c r="B15">
        <v>4</v>
      </c>
      <c r="C15">
        <f>4*B4</f>
        <v>16</v>
      </c>
      <c r="D15">
        <v>0</v>
      </c>
      <c r="E15">
        <f>4*D4</f>
        <v>16</v>
      </c>
      <c r="F15">
        <v>4</v>
      </c>
      <c r="G15">
        <f>(F$4+1)*12</f>
        <v>60</v>
      </c>
    </row>
    <row r="16" spans="1:7">
      <c r="A16" s="1" t="s">
        <v>4</v>
      </c>
      <c r="B16">
        <v>6</v>
      </c>
      <c r="C16">
        <f>4*B4</f>
        <v>16</v>
      </c>
      <c r="D16">
        <v>6</v>
      </c>
      <c r="E16">
        <f>4*D4</f>
        <v>16</v>
      </c>
      <c r="F16">
        <v>6</v>
      </c>
      <c r="G16">
        <f t="shared" ref="G16:G17" si="0">(F$4+1)*12</f>
        <v>60</v>
      </c>
    </row>
    <row r="17" spans="1:7">
      <c r="A17" s="1" t="s">
        <v>5</v>
      </c>
      <c r="B17">
        <v>4</v>
      </c>
      <c r="C17">
        <f>4*B4</f>
        <v>16</v>
      </c>
      <c r="D17">
        <v>4</v>
      </c>
      <c r="E17">
        <f>4*D4</f>
        <v>16</v>
      </c>
      <c r="F17">
        <v>4</v>
      </c>
      <c r="G17">
        <f t="shared" si="0"/>
        <v>60</v>
      </c>
    </row>
    <row r="18" spans="1:7">
      <c r="A18" s="1" t="s">
        <v>6</v>
      </c>
      <c r="B18">
        <v>3</v>
      </c>
      <c r="C18">
        <f>B4</f>
        <v>4</v>
      </c>
      <c r="D18">
        <v>3</v>
      </c>
      <c r="E18">
        <f>D4</f>
        <v>4</v>
      </c>
      <c r="F18">
        <v>11</v>
      </c>
      <c r="G18">
        <f>F$4+1</f>
        <v>5</v>
      </c>
    </row>
    <row r="19" spans="1:7">
      <c r="A19" s="1" t="s">
        <v>7</v>
      </c>
      <c r="B19">
        <v>0</v>
      </c>
      <c r="C19">
        <v>0</v>
      </c>
      <c r="D19">
        <v>0</v>
      </c>
      <c r="E19">
        <v>0</v>
      </c>
      <c r="F19">
        <v>1</v>
      </c>
      <c r="G19">
        <f>F$4+1</f>
        <v>5</v>
      </c>
    </row>
    <row r="20" spans="1:7">
      <c r="A20" s="1" t="s">
        <v>8</v>
      </c>
      <c r="B20">
        <f>B5*C5+B6*C6+B8*C8+B13*C13+B15*C15</f>
        <v>91</v>
      </c>
      <c r="D20">
        <f>D5*E5+D6*E6+D8*E8+D13*E13+D15*E15</f>
        <v>24</v>
      </c>
      <c r="F20">
        <f>F5*G5+F6*G6+F8*G8+F13*G13+F15*G15</f>
        <v>398</v>
      </c>
    </row>
    <row r="21" spans="1:7">
      <c r="A21" s="1" t="s">
        <v>9</v>
      </c>
      <c r="B21">
        <f>B7*C7+B9*C9</f>
        <v>2</v>
      </c>
      <c r="D21">
        <f>D7*E7+D9*E9</f>
        <v>32</v>
      </c>
      <c r="F21">
        <f>F7*G7+F9*G9</f>
        <v>4</v>
      </c>
    </row>
    <row r="22" spans="1:7">
      <c r="A22" s="1" t="s">
        <v>10</v>
      </c>
      <c r="B22">
        <f>B10*C10+B12*C12+B17*C17+B18*C18</f>
        <v>156</v>
      </c>
      <c r="D22">
        <f t="shared" ref="D22" si="1">D10*E10+D12*E12+D17*E17+D18*E18</f>
        <v>156</v>
      </c>
      <c r="F22">
        <f>F10*G10+F12*G12+F17*G17+F18*G18</f>
        <v>775</v>
      </c>
    </row>
    <row r="23" spans="1:7">
      <c r="A23" s="1" t="s">
        <v>11</v>
      </c>
      <c r="B23">
        <f>B11*C11+B16*C16+B19*C19</f>
        <v>160</v>
      </c>
      <c r="D23">
        <f t="shared" ref="D23" si="2">D11*E11+D16*E16+D19*E19</f>
        <v>160</v>
      </c>
      <c r="F23">
        <f>F11*G11+F16*G16+F19*G19</f>
        <v>749</v>
      </c>
    </row>
    <row r="24" spans="1:7">
      <c r="A24" s="1" t="s">
        <v>12</v>
      </c>
      <c r="B24">
        <f>B20+B22</f>
        <v>247</v>
      </c>
      <c r="D24">
        <f>D20+D22</f>
        <v>180</v>
      </c>
      <c r="F24">
        <f t="shared" ref="F24" si="3">F20+F22</f>
        <v>1173</v>
      </c>
    </row>
    <row r="25" spans="1:7">
      <c r="A25" s="1" t="s">
        <v>13</v>
      </c>
      <c r="B25">
        <f>B21+B23</f>
        <v>162</v>
      </c>
      <c r="D25">
        <f>D21+D23</f>
        <v>192</v>
      </c>
      <c r="F25">
        <f>F21+F23</f>
        <v>753</v>
      </c>
    </row>
    <row r="26" spans="1:7">
      <c r="A26" s="1" t="s">
        <v>14</v>
      </c>
      <c r="B26">
        <f>B20*C$4</f>
        <v>20966400</v>
      </c>
      <c r="D26">
        <f>D20*E$4</f>
        <v>5529600</v>
      </c>
      <c r="F26">
        <f t="shared" ref="F26" si="4">F20*G$4</f>
        <v>91699200</v>
      </c>
    </row>
    <row r="27" spans="1:7">
      <c r="A27" s="1" t="s">
        <v>15</v>
      </c>
      <c r="B27">
        <f t="shared" ref="B27:B31" si="5">B21*C$4</f>
        <v>460800</v>
      </c>
      <c r="D27">
        <f t="shared" ref="D27:D29" si="6">D21*E$4</f>
        <v>7372800</v>
      </c>
      <c r="F27">
        <f t="shared" ref="F27" si="7">F21*G$4</f>
        <v>921600</v>
      </c>
    </row>
    <row r="28" spans="1:7">
      <c r="A28" s="1" t="s">
        <v>16</v>
      </c>
      <c r="B28">
        <f t="shared" si="5"/>
        <v>35942400</v>
      </c>
      <c r="D28">
        <f t="shared" si="6"/>
        <v>35942400</v>
      </c>
      <c r="F28">
        <f t="shared" ref="F28" si="8">F22*G$4</f>
        <v>178560000</v>
      </c>
    </row>
    <row r="29" spans="1:7">
      <c r="A29" s="1" t="s">
        <v>17</v>
      </c>
      <c r="B29">
        <f t="shared" si="5"/>
        <v>36864000</v>
      </c>
      <c r="D29">
        <f t="shared" si="6"/>
        <v>36864000</v>
      </c>
      <c r="F29">
        <f t="shared" ref="F29:F31" si="9">F23*G$4</f>
        <v>172569600</v>
      </c>
    </row>
    <row r="30" spans="1:7">
      <c r="A30" s="1" t="s">
        <v>18</v>
      </c>
      <c r="B30">
        <f>B24*C$4</f>
        <v>56908800</v>
      </c>
      <c r="D30">
        <f>D24*E$4</f>
        <v>41472000</v>
      </c>
      <c r="F30">
        <f t="shared" si="9"/>
        <v>270259200</v>
      </c>
    </row>
    <row r="31" spans="1:7">
      <c r="A31" s="1" t="s">
        <v>19</v>
      </c>
      <c r="B31">
        <f t="shared" si="5"/>
        <v>37324800</v>
      </c>
      <c r="D31">
        <f>D25*E$4</f>
        <v>44236800</v>
      </c>
      <c r="F31">
        <f t="shared" si="9"/>
        <v>173491200</v>
      </c>
    </row>
    <row r="32" spans="1:7">
      <c r="A32" s="1" t="s">
        <v>20</v>
      </c>
      <c r="B32">
        <f>B20*$B$37+B21*$B$38+B22*$C$37+B23*$C$38</f>
        <v>514.73</v>
      </c>
      <c r="D32">
        <f>D20*$B$37+D21*$B$38+D22*$C$37+D23*$C$38</f>
        <v>518.72</v>
      </c>
      <c r="F32">
        <f>F20*$B$37+F21*$B$38+F22*$C$37+F23*$C$38</f>
        <v>2412.14</v>
      </c>
    </row>
    <row r="33" spans="1:6">
      <c r="A33" s="1" t="s">
        <v>21</v>
      </c>
      <c r="B33">
        <f>B32*C$4</f>
        <v>118593792</v>
      </c>
      <c r="D33">
        <f t="shared" ref="D33" si="10">D32*E$4</f>
        <v>119513088</v>
      </c>
      <c r="F33">
        <f>F32*G$4</f>
        <v>555757056</v>
      </c>
    </row>
    <row r="36" spans="1:6">
      <c r="A36" s="2" t="s">
        <v>34</v>
      </c>
      <c r="B36" t="s">
        <v>37</v>
      </c>
      <c r="C36" t="s">
        <v>38</v>
      </c>
      <c r="D36" t="s">
        <v>39</v>
      </c>
      <c r="E36" t="s">
        <v>40</v>
      </c>
    </row>
    <row r="37" spans="1:6">
      <c r="A37" s="2" t="s">
        <v>35</v>
      </c>
      <c r="B37">
        <v>0.03</v>
      </c>
      <c r="C37">
        <v>0.1</v>
      </c>
      <c r="D37">
        <v>0.4</v>
      </c>
      <c r="E37">
        <v>0.9</v>
      </c>
    </row>
    <row r="38" spans="1:6">
      <c r="A38" s="2" t="s">
        <v>36</v>
      </c>
      <c r="B38">
        <v>0.2</v>
      </c>
      <c r="C38">
        <v>3.1</v>
      </c>
      <c r="D38">
        <v>1.1000000000000001</v>
      </c>
      <c r="E38">
        <v>3.7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FB4F-9C04-4185-9E2B-CAB1DF501591}">
  <dimension ref="A1:R39"/>
  <sheetViews>
    <sheetView tabSelected="1" zoomScale="85" zoomScaleNormal="85" workbookViewId="0">
      <selection activeCell="D36" sqref="D36"/>
    </sheetView>
  </sheetViews>
  <sheetFormatPr defaultRowHeight="14.25"/>
  <cols>
    <col min="1" max="1" width="15.375" bestFit="1" customWidth="1"/>
    <col min="2" max="2" width="23.375" customWidth="1"/>
    <col min="3" max="3" width="29" customWidth="1"/>
    <col min="4" max="4" width="20.625" customWidth="1"/>
    <col min="5" max="5" width="15.625" customWidth="1"/>
    <col min="6" max="6" width="34.125" customWidth="1"/>
    <col min="7" max="7" width="17.375" customWidth="1"/>
    <col min="8" max="8" width="13.875" customWidth="1"/>
    <col min="9" max="9" width="11.625" customWidth="1"/>
    <col min="10" max="10" width="14.5" customWidth="1"/>
    <col min="11" max="11" width="24.5" customWidth="1"/>
    <col min="12" max="12" width="16.625" customWidth="1"/>
    <col min="13" max="14" width="18.875" customWidth="1"/>
    <col min="15" max="15" width="17.875" customWidth="1"/>
    <col min="16" max="16" width="16" customWidth="1"/>
    <col min="17" max="17" width="19.875" customWidth="1"/>
    <col min="18" max="18" width="16.625" customWidth="1"/>
  </cols>
  <sheetData>
    <row r="1" spans="1:18">
      <c r="A1" s="3"/>
      <c r="B1" s="3" t="s">
        <v>53</v>
      </c>
      <c r="C1" s="3" t="s">
        <v>24</v>
      </c>
      <c r="D1" s="3" t="s">
        <v>55</v>
      </c>
      <c r="E1" s="3"/>
      <c r="F1" s="16" t="s">
        <v>54</v>
      </c>
      <c r="G1" s="16"/>
      <c r="H1" s="16"/>
      <c r="I1" s="16"/>
      <c r="J1" s="20"/>
      <c r="K1" s="9" t="s">
        <v>47</v>
      </c>
      <c r="L1" s="20"/>
      <c r="M1" s="9" t="s">
        <v>49</v>
      </c>
      <c r="O1" s="9" t="s">
        <v>48</v>
      </c>
      <c r="Q1" s="9" t="s">
        <v>49</v>
      </c>
      <c r="R1" s="8" t="s">
        <v>52</v>
      </c>
    </row>
    <row r="2" spans="1:18">
      <c r="A2" s="3"/>
      <c r="B2" s="3">
        <v>1920</v>
      </c>
      <c r="C2" s="3">
        <v>1080</v>
      </c>
      <c r="D2" s="3" t="s">
        <v>26</v>
      </c>
      <c r="E2" s="3"/>
      <c r="F2" s="16"/>
      <c r="G2" s="16"/>
      <c r="H2" s="16"/>
      <c r="I2" s="16"/>
      <c r="J2" s="9"/>
      <c r="K2" s="9">
        <v>1920</v>
      </c>
      <c r="L2" s="9">
        <v>1080</v>
      </c>
      <c r="N2" s="9"/>
      <c r="O2" s="9">
        <v>960</v>
      </c>
      <c r="P2" s="9">
        <v>540</v>
      </c>
    </row>
    <row r="3" spans="1:18">
      <c r="A3" s="3" t="s">
        <v>25</v>
      </c>
      <c r="B3" s="3">
        <v>1920</v>
      </c>
      <c r="C3" s="3">
        <v>1080</v>
      </c>
      <c r="D3" s="3" t="s">
        <v>27</v>
      </c>
      <c r="E3" s="3"/>
      <c r="F3" s="16"/>
      <c r="G3" s="16"/>
      <c r="H3" s="16"/>
      <c r="I3" s="16"/>
      <c r="J3" s="9" t="s">
        <v>25</v>
      </c>
      <c r="K3" s="9">
        <v>1920</v>
      </c>
      <c r="L3" s="9">
        <v>1080</v>
      </c>
      <c r="N3" s="9" t="s">
        <v>25</v>
      </c>
      <c r="O3" s="9">
        <v>960</v>
      </c>
      <c r="P3" s="9">
        <v>540</v>
      </c>
    </row>
    <row r="4" spans="1:18">
      <c r="A4" s="3">
        <v>1</v>
      </c>
      <c r="B4" s="3">
        <f>A4*A4</f>
        <v>1</v>
      </c>
      <c r="C4" s="3">
        <f>B$3*C$3</f>
        <v>2073600</v>
      </c>
      <c r="D4" s="3">
        <f>B4</f>
        <v>1</v>
      </c>
      <c r="E4" s="3">
        <f>C$4</f>
        <v>2073600</v>
      </c>
      <c r="F4" s="16">
        <f>D4</f>
        <v>1</v>
      </c>
      <c r="G4" s="16">
        <f>E$4</f>
        <v>2073600</v>
      </c>
      <c r="H4" s="16"/>
      <c r="I4" s="16"/>
      <c r="J4" s="9">
        <v>1</v>
      </c>
      <c r="K4" s="9">
        <f>J4*J4</f>
        <v>1</v>
      </c>
      <c r="L4" s="9">
        <f>K$3*L$3</f>
        <v>2073600</v>
      </c>
      <c r="N4" s="9">
        <v>1</v>
      </c>
      <c r="O4" s="9">
        <v>1</v>
      </c>
      <c r="P4" s="9">
        <f>O$3*P$3</f>
        <v>518400</v>
      </c>
    </row>
    <row r="5" spans="1:18">
      <c r="A5" s="14" t="s">
        <v>28</v>
      </c>
      <c r="B5" s="18">
        <v>3</v>
      </c>
      <c r="C5" s="18">
        <v>4</v>
      </c>
      <c r="D5" s="11">
        <v>6</v>
      </c>
      <c r="E5" s="11">
        <v>12</v>
      </c>
      <c r="F5" s="17">
        <f>3*8</f>
        <v>24</v>
      </c>
      <c r="G5" s="17">
        <f>3*4</f>
        <v>12</v>
      </c>
      <c r="H5" s="17"/>
      <c r="I5" s="17"/>
      <c r="J5" s="21"/>
      <c r="K5" s="12">
        <v>1</v>
      </c>
      <c r="L5" s="12">
        <f>3*(5*3*4+1*8*4)</f>
        <v>276</v>
      </c>
      <c r="M5" s="23"/>
      <c r="N5" s="23"/>
      <c r="O5" s="12">
        <f>3*9</f>
        <v>27</v>
      </c>
      <c r="P5" s="12">
        <f>3*4</f>
        <v>12</v>
      </c>
    </row>
    <row r="6" spans="1:18">
      <c r="A6" s="14" t="s">
        <v>29</v>
      </c>
      <c r="B6" s="18">
        <v>3</v>
      </c>
      <c r="C6" s="18">
        <v>4</v>
      </c>
      <c r="D6" s="11">
        <v>6</v>
      </c>
      <c r="E6" s="11">
        <v>12</v>
      </c>
      <c r="F6" s="17">
        <f>3*8</f>
        <v>24</v>
      </c>
      <c r="G6" s="17">
        <f>3*4</f>
        <v>12</v>
      </c>
      <c r="H6" s="17"/>
      <c r="I6" s="17"/>
      <c r="J6" s="21"/>
      <c r="K6" s="12">
        <v>1</v>
      </c>
      <c r="L6" s="12">
        <f>3*(5*3*4+1*8*4)</f>
        <v>276</v>
      </c>
      <c r="M6" s="23"/>
      <c r="N6" s="23"/>
      <c r="O6" s="12">
        <f>3*9</f>
        <v>27</v>
      </c>
      <c r="P6" s="12">
        <f>3*4</f>
        <v>12</v>
      </c>
    </row>
    <row r="7" spans="1:18">
      <c r="A7" s="14" t="s">
        <v>22</v>
      </c>
      <c r="B7" s="18">
        <v>1</v>
      </c>
      <c r="C7" s="18">
        <v>1</v>
      </c>
      <c r="D7" s="11">
        <v>2</v>
      </c>
      <c r="E7" s="11">
        <v>1</v>
      </c>
      <c r="F7" s="17">
        <v>8</v>
      </c>
      <c r="G7" s="17">
        <v>1</v>
      </c>
      <c r="H7" s="17"/>
      <c r="I7" s="17"/>
      <c r="J7" s="21"/>
      <c r="K7" s="12">
        <v>6</v>
      </c>
      <c r="L7" s="12">
        <v>1</v>
      </c>
      <c r="M7" s="23"/>
      <c r="N7" s="23"/>
      <c r="O7" s="12">
        <v>9</v>
      </c>
      <c r="P7" s="12">
        <v>1</v>
      </c>
    </row>
    <row r="8" spans="1:18">
      <c r="A8" s="14" t="s">
        <v>0</v>
      </c>
      <c r="B8" s="18">
        <v>1</v>
      </c>
      <c r="C8" s="18">
        <v>1</v>
      </c>
      <c r="D8" s="11">
        <v>2</v>
      </c>
      <c r="E8" s="11">
        <v>1</v>
      </c>
      <c r="F8" s="17">
        <v>8</v>
      </c>
      <c r="G8" s="17">
        <v>1</v>
      </c>
      <c r="H8" s="17"/>
      <c r="I8" s="17"/>
      <c r="J8" s="21"/>
      <c r="K8" s="12">
        <v>6</v>
      </c>
      <c r="L8" s="12">
        <v>1</v>
      </c>
      <c r="M8" s="23"/>
      <c r="N8" s="23"/>
      <c r="O8" s="12">
        <v>9</v>
      </c>
      <c r="P8" s="12">
        <v>1</v>
      </c>
    </row>
    <row r="9" spans="1:18">
      <c r="A9" s="14" t="s">
        <v>1</v>
      </c>
      <c r="B9" s="18">
        <v>1</v>
      </c>
      <c r="C9" s="18">
        <v>1</v>
      </c>
      <c r="D9" s="11">
        <v>2</v>
      </c>
      <c r="E9" s="11">
        <v>1</v>
      </c>
      <c r="F9" s="17">
        <v>8</v>
      </c>
      <c r="G9" s="17">
        <v>1</v>
      </c>
      <c r="H9" s="17"/>
      <c r="I9" s="17"/>
      <c r="J9" s="21"/>
      <c r="K9" s="12">
        <v>6</v>
      </c>
      <c r="L9" s="12">
        <v>1</v>
      </c>
      <c r="M9" s="23"/>
      <c r="N9" s="23"/>
      <c r="O9" s="12">
        <v>9</v>
      </c>
      <c r="P9" s="12">
        <v>1</v>
      </c>
    </row>
    <row r="10" spans="1:18">
      <c r="A10" s="4" t="s">
        <v>30</v>
      </c>
      <c r="B10" s="3"/>
      <c r="C10" s="3"/>
      <c r="D10" s="3"/>
      <c r="E10" s="3"/>
      <c r="F10" s="16"/>
      <c r="G10" s="16"/>
      <c r="H10" s="16"/>
      <c r="I10" s="16"/>
      <c r="J10" s="19"/>
      <c r="K10" s="19"/>
      <c r="L10" s="19"/>
    </row>
    <row r="11" spans="1:18">
      <c r="A11" s="5" t="s">
        <v>31</v>
      </c>
      <c r="B11" s="6">
        <v>3</v>
      </c>
      <c r="C11" s="6">
        <v>1</v>
      </c>
      <c r="D11" s="6">
        <v>6</v>
      </c>
      <c r="E11" s="6">
        <v>1</v>
      </c>
      <c r="F11" s="15">
        <v>24</v>
      </c>
      <c r="G11" s="15">
        <v>1</v>
      </c>
      <c r="H11" s="15"/>
      <c r="I11" s="15"/>
      <c r="J11" s="22"/>
      <c r="K11" s="10">
        <v>18</v>
      </c>
      <c r="L11" s="10">
        <v>1</v>
      </c>
      <c r="M11" s="7"/>
      <c r="N11" s="7"/>
      <c r="O11" s="15">
        <v>27</v>
      </c>
      <c r="P11" s="15">
        <v>1</v>
      </c>
    </row>
    <row r="12" spans="1:18">
      <c r="A12" s="5" t="s">
        <v>32</v>
      </c>
      <c r="B12" s="6">
        <v>3</v>
      </c>
      <c r="C12" s="6">
        <f>4*B4</f>
        <v>4</v>
      </c>
      <c r="D12" s="6">
        <v>3</v>
      </c>
      <c r="E12" s="6">
        <f>(D$4+1)*12</f>
        <v>24</v>
      </c>
      <c r="F12" s="15">
        <v>3</v>
      </c>
      <c r="G12" s="15">
        <f>12*(2+2+2+1+4*F$4)</f>
        <v>132</v>
      </c>
      <c r="H12" s="15"/>
      <c r="I12" s="15"/>
      <c r="J12" s="22"/>
      <c r="K12" s="10">
        <v>3</v>
      </c>
      <c r="L12" s="10">
        <f>2*8*4+12*(2+1+3*J$4)</f>
        <v>136</v>
      </c>
      <c r="M12" s="7"/>
      <c r="N12" s="7"/>
      <c r="O12" s="15">
        <v>3</v>
      </c>
      <c r="P12" s="15">
        <f>12*9</f>
        <v>108</v>
      </c>
    </row>
    <row r="13" spans="1:18">
      <c r="A13" s="5" t="s">
        <v>2</v>
      </c>
      <c r="B13" s="6">
        <v>4.5</v>
      </c>
      <c r="C13" s="6">
        <v>4</v>
      </c>
      <c r="D13" s="6">
        <v>9</v>
      </c>
      <c r="E13" s="6">
        <v>12</v>
      </c>
      <c r="F13" s="15">
        <f>4.5*8</f>
        <v>36</v>
      </c>
      <c r="G13" s="15">
        <v>12</v>
      </c>
      <c r="H13" s="15"/>
      <c r="I13" s="15"/>
      <c r="J13" s="22"/>
      <c r="K13" s="10">
        <v>4.5</v>
      </c>
      <c r="L13" s="10">
        <f>1*8*4+5*3*4</f>
        <v>92</v>
      </c>
      <c r="M13" s="7"/>
      <c r="N13" s="7"/>
      <c r="O13" s="15">
        <f>4.5*9</f>
        <v>40.5</v>
      </c>
      <c r="P13" s="15">
        <v>12</v>
      </c>
    </row>
    <row r="14" spans="1:18">
      <c r="A14" s="5" t="s">
        <v>33</v>
      </c>
      <c r="B14" s="6"/>
      <c r="C14" s="6"/>
      <c r="D14" s="6"/>
      <c r="E14" s="6"/>
      <c r="F14" s="15"/>
      <c r="G14" s="15"/>
      <c r="H14" s="15"/>
      <c r="I14" s="15"/>
      <c r="J14" s="22"/>
      <c r="K14" s="22"/>
      <c r="L14" s="22"/>
      <c r="M14" s="7"/>
      <c r="N14" s="7"/>
      <c r="O14" s="7"/>
      <c r="P14" s="7"/>
    </row>
    <row r="15" spans="1:18">
      <c r="A15" s="5" t="s">
        <v>3</v>
      </c>
      <c r="B15" s="6">
        <v>4</v>
      </c>
      <c r="C15" s="6">
        <f>4*B4</f>
        <v>4</v>
      </c>
      <c r="D15" s="6">
        <v>4</v>
      </c>
      <c r="E15" s="6">
        <f>(D$4+1)*12</f>
        <v>24</v>
      </c>
      <c r="F15" s="15">
        <v>4</v>
      </c>
      <c r="G15" s="15">
        <f>12*(2+2+2+1+4*F$4)</f>
        <v>132</v>
      </c>
      <c r="H15" s="15"/>
      <c r="I15" s="15"/>
      <c r="J15" s="22"/>
      <c r="K15" s="10">
        <v>4</v>
      </c>
      <c r="L15" s="10">
        <f>2*8*4+12*(2+1+3*J$4)</f>
        <v>136</v>
      </c>
      <c r="M15" s="7"/>
      <c r="N15" s="7"/>
      <c r="O15" s="15">
        <v>4</v>
      </c>
      <c r="P15" s="15">
        <f>12*9</f>
        <v>108</v>
      </c>
    </row>
    <row r="16" spans="1:18">
      <c r="A16" s="5" t="s">
        <v>4</v>
      </c>
      <c r="B16" s="6">
        <v>6</v>
      </c>
      <c r="C16" s="6">
        <f>4*B4</f>
        <v>4</v>
      </c>
      <c r="D16" s="6">
        <v>6</v>
      </c>
      <c r="E16" s="6">
        <f t="shared" ref="E16:E17" si="0">(D$4+1)*12</f>
        <v>24</v>
      </c>
      <c r="F16" s="15">
        <v>6</v>
      </c>
      <c r="G16" s="15">
        <f t="shared" ref="G16" si="1">12*(2+2+2+1+4*F$4)</f>
        <v>132</v>
      </c>
      <c r="H16" s="15"/>
      <c r="I16" s="15"/>
      <c r="J16" s="22"/>
      <c r="K16" s="10">
        <v>6</v>
      </c>
      <c r="L16" s="10">
        <f>2*8*4+12*(2+1+3*J$4)</f>
        <v>136</v>
      </c>
      <c r="M16" s="7"/>
      <c r="N16" s="7"/>
      <c r="O16" s="15">
        <v>6</v>
      </c>
      <c r="P16" s="15">
        <f>12*9</f>
        <v>108</v>
      </c>
    </row>
    <row r="17" spans="1:17">
      <c r="A17" s="5" t="s">
        <v>5</v>
      </c>
      <c r="B17" s="6">
        <v>4</v>
      </c>
      <c r="C17" s="6">
        <f>4*B4</f>
        <v>4</v>
      </c>
      <c r="D17" s="6">
        <v>4</v>
      </c>
      <c r="E17" s="6">
        <f t="shared" si="0"/>
        <v>24</v>
      </c>
      <c r="F17" s="15">
        <v>4</v>
      </c>
      <c r="G17" s="15">
        <f>12*(2+2+2+1+4*F$4)</f>
        <v>132</v>
      </c>
      <c r="H17" s="15"/>
      <c r="I17" s="15"/>
      <c r="J17" s="22"/>
      <c r="K17" s="10">
        <v>4</v>
      </c>
      <c r="L17" s="10">
        <f>2*8*4+12*(2+1+3*J$4)</f>
        <v>136</v>
      </c>
      <c r="M17" s="7"/>
      <c r="N17" s="7"/>
      <c r="O17" s="15">
        <v>4</v>
      </c>
      <c r="P17" s="15">
        <f>12*9</f>
        <v>108</v>
      </c>
    </row>
    <row r="18" spans="1:17">
      <c r="A18" s="5" t="s">
        <v>6</v>
      </c>
      <c r="B18" s="6">
        <v>3</v>
      </c>
      <c r="C18" s="6">
        <f>B4</f>
        <v>1</v>
      </c>
      <c r="D18" s="6">
        <v>11</v>
      </c>
      <c r="E18" s="6">
        <f>D$4+1</f>
        <v>2</v>
      </c>
      <c r="F18" s="15">
        <v>11</v>
      </c>
      <c r="G18" s="15">
        <f>2+2+2+1+4*F$4</f>
        <v>11</v>
      </c>
      <c r="H18" s="15"/>
      <c r="I18" s="15"/>
      <c r="J18" s="22"/>
      <c r="K18" s="10">
        <v>1</v>
      </c>
      <c r="L18" s="10">
        <f>(2+1+3*K$4)*11+2*31</f>
        <v>128</v>
      </c>
      <c r="M18" s="7"/>
      <c r="N18" s="7"/>
      <c r="O18" s="15">
        <v>11</v>
      </c>
      <c r="P18" s="15">
        <v>9</v>
      </c>
    </row>
    <row r="19" spans="1:17">
      <c r="A19" s="5" t="s">
        <v>7</v>
      </c>
      <c r="B19" s="6">
        <v>0</v>
      </c>
      <c r="C19" s="6">
        <v>0</v>
      </c>
      <c r="D19" s="6">
        <v>1</v>
      </c>
      <c r="E19" s="6">
        <f>D$4+1</f>
        <v>2</v>
      </c>
      <c r="F19" s="15">
        <v>1</v>
      </c>
      <c r="G19" s="15">
        <f>2+2+2+1+4*F$4</f>
        <v>11</v>
      </c>
      <c r="H19" s="15"/>
      <c r="I19" s="15"/>
      <c r="J19" s="22"/>
      <c r="K19" s="10">
        <v>1</v>
      </c>
      <c r="L19" s="10">
        <f>2+2+1+3*K$4</f>
        <v>8</v>
      </c>
      <c r="M19" s="7"/>
      <c r="N19" s="7"/>
      <c r="O19" s="15">
        <v>1</v>
      </c>
      <c r="P19" s="15">
        <v>9</v>
      </c>
    </row>
    <row r="20" spans="1:17">
      <c r="A20" s="4" t="s">
        <v>8</v>
      </c>
      <c r="B20" s="3">
        <f>B5*C5+B6*C6+B8*C8+B13*C13+B15*C15</f>
        <v>59</v>
      </c>
      <c r="C20" s="3"/>
      <c r="D20" s="3">
        <f>D5*E5+D6*E6+D8*E8+D13*E13+D15*E15</f>
        <v>350</v>
      </c>
      <c r="E20" s="3"/>
      <c r="F20" s="16">
        <f>F5*G5+F6*G6+F8*G8+F13*G13+F15*G15</f>
        <v>1544</v>
      </c>
      <c r="G20" s="16"/>
      <c r="H20" s="16"/>
      <c r="I20" s="16"/>
      <c r="J20" s="19"/>
      <c r="K20" s="9">
        <f>K5*L5+K6*L6+K8*L8+K13*L13+K15*L15</f>
        <v>1516</v>
      </c>
      <c r="L20" s="24">
        <v>37</v>
      </c>
      <c r="M20" s="9">
        <f>K20+L20</f>
        <v>1553</v>
      </c>
      <c r="N20" s="9"/>
      <c r="O20" s="9">
        <f>O5*P5+O6*P6+O8*P8+O13*P13+O15*P15</f>
        <v>1575</v>
      </c>
      <c r="P20" s="24">
        <v>37</v>
      </c>
      <c r="Q20" s="8">
        <f>O20+P20</f>
        <v>1612</v>
      </c>
    </row>
    <row r="21" spans="1:17">
      <c r="A21" s="4" t="s">
        <v>9</v>
      </c>
      <c r="B21" s="3">
        <f>B7*C7+B9*C9</f>
        <v>2</v>
      </c>
      <c r="C21" s="3"/>
      <c r="D21" s="3">
        <f>D7*E7+D9*E9</f>
        <v>4</v>
      </c>
      <c r="E21" s="3"/>
      <c r="F21" s="16">
        <f>F7*G7+F9*G9</f>
        <v>16</v>
      </c>
      <c r="G21" s="16"/>
      <c r="H21" s="16"/>
      <c r="I21" s="16"/>
      <c r="J21" s="19"/>
      <c r="K21" s="9">
        <f>K7*L7+K9*L9</f>
        <v>12</v>
      </c>
      <c r="L21" s="24">
        <v>2</v>
      </c>
      <c r="M21" s="9">
        <f>K21+L21</f>
        <v>14</v>
      </c>
      <c r="N21" s="9"/>
      <c r="O21" s="9">
        <f>O7*P7+O9*P9</f>
        <v>18</v>
      </c>
      <c r="P21" s="24">
        <v>2</v>
      </c>
      <c r="Q21" s="8">
        <f t="shared" ref="Q21:Q34" si="2">O21+P21</f>
        <v>20</v>
      </c>
    </row>
    <row r="22" spans="1:17">
      <c r="A22" s="4" t="s">
        <v>10</v>
      </c>
      <c r="B22" s="3">
        <f>B10*C10+B12*C12+B17*C17+B18*C18</f>
        <v>31</v>
      </c>
      <c r="C22" s="3"/>
      <c r="D22" s="3">
        <f>D10*E10+D12*E12+D17*E17+D18*E18</f>
        <v>190</v>
      </c>
      <c r="E22" s="3"/>
      <c r="F22" s="16">
        <f>F10*G10+F12*G12+F17*G17+F18*G18</f>
        <v>1045</v>
      </c>
      <c r="G22" s="16"/>
      <c r="H22" s="16"/>
      <c r="I22" s="16"/>
      <c r="J22" s="19"/>
      <c r="K22" s="9">
        <f>K10*L10+K12*L12+K17*L17+K18*L18</f>
        <v>1080</v>
      </c>
      <c r="L22" s="24">
        <v>27</v>
      </c>
      <c r="M22" s="9">
        <f>K22+L22</f>
        <v>1107</v>
      </c>
      <c r="N22" s="9"/>
      <c r="O22" s="9">
        <f>O10*P10+O12*P12+O17*P17+O18*P18</f>
        <v>855</v>
      </c>
      <c r="P22" s="24">
        <v>27</v>
      </c>
      <c r="Q22" s="8">
        <f>O22+P22</f>
        <v>882</v>
      </c>
    </row>
    <row r="23" spans="1:17">
      <c r="A23" s="4" t="s">
        <v>11</v>
      </c>
      <c r="B23" s="3">
        <f>B11*C11+B16*C16+B19*C19</f>
        <v>27</v>
      </c>
      <c r="C23" s="3"/>
      <c r="D23" s="3">
        <f>D11*E11+D16*E16+D19*E19</f>
        <v>152</v>
      </c>
      <c r="E23" s="3"/>
      <c r="F23" s="16">
        <f>F11*G11+F16*G16+F19*G19</f>
        <v>827</v>
      </c>
      <c r="G23" s="16"/>
      <c r="H23" s="16"/>
      <c r="I23" s="16"/>
      <c r="J23" s="19"/>
      <c r="K23" s="9">
        <f>K11*L11+K16*L16+K19*L19</f>
        <v>842</v>
      </c>
      <c r="L23" s="24">
        <v>77</v>
      </c>
      <c r="M23" s="9">
        <f t="shared" ref="M23:M24" si="3">K23+L23</f>
        <v>919</v>
      </c>
      <c r="N23" s="9" t="s">
        <v>51</v>
      </c>
      <c r="O23" s="9">
        <f>O11*P11+O16*P16+O19*P19</f>
        <v>684</v>
      </c>
      <c r="P23" s="24">
        <v>77</v>
      </c>
      <c r="Q23" s="8">
        <f t="shared" si="2"/>
        <v>761</v>
      </c>
    </row>
    <row r="24" spans="1:17">
      <c r="A24" s="4" t="s">
        <v>12</v>
      </c>
      <c r="B24" s="3">
        <f>B20+B22</f>
        <v>90</v>
      </c>
      <c r="C24" s="3"/>
      <c r="D24" s="3">
        <f>D20+D22</f>
        <v>540</v>
      </c>
      <c r="E24" s="3"/>
      <c r="F24" s="16">
        <f>F20+F22</f>
        <v>2589</v>
      </c>
      <c r="G24" s="16"/>
      <c r="H24" s="16"/>
      <c r="I24" s="16"/>
      <c r="J24" s="19"/>
      <c r="K24" s="9">
        <f>K20+K22</f>
        <v>2596</v>
      </c>
      <c r="L24" s="24">
        <v>64</v>
      </c>
      <c r="M24" s="9">
        <f t="shared" si="3"/>
        <v>2660</v>
      </c>
      <c r="N24" s="9"/>
      <c r="O24" s="9">
        <f>O20+O22</f>
        <v>2430</v>
      </c>
      <c r="P24" s="24">
        <v>64</v>
      </c>
      <c r="Q24" s="8">
        <f t="shared" si="2"/>
        <v>2494</v>
      </c>
    </row>
    <row r="25" spans="1:17">
      <c r="A25" s="4" t="s">
        <v>13</v>
      </c>
      <c r="B25" s="3">
        <f>B21+B23</f>
        <v>29</v>
      </c>
      <c r="C25" s="3"/>
      <c r="D25" s="3">
        <f>D21+D23</f>
        <v>156</v>
      </c>
      <c r="E25" s="3"/>
      <c r="F25" s="16">
        <f>F21+F23</f>
        <v>843</v>
      </c>
      <c r="G25" s="16"/>
      <c r="H25" s="16"/>
      <c r="I25" s="16"/>
      <c r="J25" s="19"/>
      <c r="K25" s="9">
        <f>K21+K23</f>
        <v>854</v>
      </c>
      <c r="L25" s="24">
        <v>79</v>
      </c>
      <c r="M25" s="9">
        <f t="shared" ref="M25:M31" si="4">K25+L25</f>
        <v>933</v>
      </c>
      <c r="N25" s="9"/>
      <c r="O25" s="9">
        <f>O21+O23</f>
        <v>702</v>
      </c>
      <c r="P25" s="24">
        <v>79</v>
      </c>
      <c r="Q25" s="8">
        <f t="shared" si="2"/>
        <v>781</v>
      </c>
    </row>
    <row r="26" spans="1:17">
      <c r="A26" s="4" t="s">
        <v>14</v>
      </c>
      <c r="B26" s="3">
        <f>B20*C$4</f>
        <v>122342400</v>
      </c>
      <c r="C26" s="3"/>
      <c r="D26" s="3">
        <f>D20*E$4</f>
        <v>725760000</v>
      </c>
      <c r="E26" s="3"/>
      <c r="F26" s="16">
        <f>F20*G$4</f>
        <v>3201638400</v>
      </c>
      <c r="G26" s="16"/>
      <c r="H26" s="16">
        <v>1238400</v>
      </c>
      <c r="I26" s="16">
        <f>F26+H26</f>
        <v>3202876800</v>
      </c>
      <c r="J26" s="19"/>
      <c r="K26" s="9">
        <f>K20*L$4</f>
        <v>3143577600</v>
      </c>
      <c r="L26" s="24">
        <v>76723200</v>
      </c>
      <c r="M26" s="9">
        <f t="shared" si="4"/>
        <v>3220300800</v>
      </c>
      <c r="N26" s="9"/>
      <c r="O26" s="9">
        <f t="shared" ref="O26:O30" si="5">O20*P$4</f>
        <v>816480000</v>
      </c>
      <c r="P26" s="24">
        <v>19180800</v>
      </c>
      <c r="Q26" s="8">
        <f t="shared" si="2"/>
        <v>835660800</v>
      </c>
    </row>
    <row r="27" spans="1:17">
      <c r="A27" s="4" t="s">
        <v>15</v>
      </c>
      <c r="B27" s="3">
        <f t="shared" ref="B27:F31" si="6">B21*C$4</f>
        <v>4147200</v>
      </c>
      <c r="C27" s="3"/>
      <c r="D27" s="3">
        <f t="shared" si="6"/>
        <v>8294400</v>
      </c>
      <c r="E27" s="3"/>
      <c r="F27" s="16">
        <f t="shared" si="6"/>
        <v>33177600</v>
      </c>
      <c r="G27" s="16"/>
      <c r="H27" s="16">
        <v>115200</v>
      </c>
      <c r="I27" s="16">
        <f>F27+H27</f>
        <v>33292800</v>
      </c>
      <c r="J27" s="19"/>
      <c r="K27" s="9">
        <f t="shared" ref="K27:K31" si="7">K21*L$4</f>
        <v>24883200</v>
      </c>
      <c r="L27" s="24">
        <v>4147200</v>
      </c>
      <c r="M27" s="9">
        <f t="shared" si="4"/>
        <v>29030400</v>
      </c>
      <c r="N27" s="9"/>
      <c r="O27" s="9">
        <f t="shared" si="5"/>
        <v>9331200</v>
      </c>
      <c r="P27" s="24">
        <v>1036800</v>
      </c>
      <c r="Q27" s="8">
        <f t="shared" si="2"/>
        <v>10368000</v>
      </c>
    </row>
    <row r="28" spans="1:17">
      <c r="A28" s="4" t="s">
        <v>16</v>
      </c>
      <c r="B28" s="3">
        <f>B22*C$4</f>
        <v>64281600</v>
      </c>
      <c r="C28" s="3"/>
      <c r="D28" s="3">
        <f>D22*E$4</f>
        <v>393984000</v>
      </c>
      <c r="E28" s="3"/>
      <c r="F28" s="16">
        <f t="shared" si="6"/>
        <v>2166912000</v>
      </c>
      <c r="G28" s="16"/>
      <c r="H28" s="16">
        <v>1612800</v>
      </c>
      <c r="I28" s="16">
        <f>F28+H28</f>
        <v>2168524800</v>
      </c>
      <c r="J28" s="19"/>
      <c r="K28" s="9">
        <f t="shared" si="7"/>
        <v>2239488000</v>
      </c>
      <c r="L28" s="24">
        <v>55987200</v>
      </c>
      <c r="M28" s="9">
        <f t="shared" si="4"/>
        <v>2295475200</v>
      </c>
      <c r="N28" s="9"/>
      <c r="O28" s="9">
        <f>O22*P$4</f>
        <v>443232000</v>
      </c>
      <c r="P28" s="24">
        <v>13996800</v>
      </c>
      <c r="Q28" s="8">
        <f t="shared" si="2"/>
        <v>457228800</v>
      </c>
    </row>
    <row r="29" spans="1:17">
      <c r="A29" s="4" t="s">
        <v>17</v>
      </c>
      <c r="B29" s="3">
        <f t="shared" si="6"/>
        <v>55987200</v>
      </c>
      <c r="C29" s="3"/>
      <c r="D29" s="3">
        <f>D23*E$4</f>
        <v>315187200</v>
      </c>
      <c r="E29" s="3"/>
      <c r="F29" s="16">
        <f>F23*G$4</f>
        <v>1714867200</v>
      </c>
      <c r="G29" s="16"/>
      <c r="H29" s="16">
        <v>1555200</v>
      </c>
      <c r="I29" s="16">
        <f t="shared" ref="I29" si="8">F29+H29</f>
        <v>1716422400</v>
      </c>
      <c r="J29" s="19"/>
      <c r="K29" s="9">
        <f>K23*L$4</f>
        <v>1745971200</v>
      </c>
      <c r="L29" s="24">
        <v>159667200</v>
      </c>
      <c r="M29" s="9">
        <f t="shared" si="4"/>
        <v>1905638400</v>
      </c>
      <c r="N29" s="9"/>
      <c r="O29" s="9">
        <f>O23*P$4</f>
        <v>354585600</v>
      </c>
      <c r="P29" s="24">
        <v>39916800</v>
      </c>
      <c r="Q29" s="8">
        <f t="shared" si="2"/>
        <v>394502400</v>
      </c>
    </row>
    <row r="30" spans="1:17">
      <c r="A30" s="4" t="s">
        <v>18</v>
      </c>
      <c r="B30" s="3">
        <f>B24*C$4</f>
        <v>186624000</v>
      </c>
      <c r="C30" s="3"/>
      <c r="D30" s="3">
        <f>D24*E$4</f>
        <v>1119744000</v>
      </c>
      <c r="E30" s="3"/>
      <c r="F30" s="16">
        <f>F24*G$4</f>
        <v>5368550400</v>
      </c>
      <c r="G30" s="16"/>
      <c r="H30" s="16"/>
      <c r="I30" s="16"/>
      <c r="J30" s="19"/>
      <c r="K30" s="9">
        <f>K24*L$4</f>
        <v>5383065600</v>
      </c>
      <c r="L30" s="24">
        <v>132710400</v>
      </c>
      <c r="M30" s="9">
        <f t="shared" si="4"/>
        <v>5515776000</v>
      </c>
      <c r="N30" s="9"/>
      <c r="O30" s="9">
        <f t="shared" si="5"/>
        <v>1259712000</v>
      </c>
      <c r="P30" s="24">
        <v>33177600</v>
      </c>
      <c r="Q30" s="8">
        <f t="shared" si="2"/>
        <v>1292889600</v>
      </c>
    </row>
    <row r="31" spans="1:17">
      <c r="A31" s="4" t="s">
        <v>19</v>
      </c>
      <c r="B31" s="3">
        <f t="shared" si="6"/>
        <v>60134400</v>
      </c>
      <c r="C31" s="3"/>
      <c r="D31" s="3">
        <f t="shared" si="6"/>
        <v>323481600</v>
      </c>
      <c r="E31" s="3"/>
      <c r="F31" s="16">
        <f>F25*G$4</f>
        <v>1748044800</v>
      </c>
      <c r="G31" s="16"/>
      <c r="H31" s="16"/>
      <c r="I31" s="16"/>
      <c r="J31" s="19"/>
      <c r="K31" s="9">
        <f t="shared" si="7"/>
        <v>1770854400</v>
      </c>
      <c r="L31" s="24">
        <v>163814400</v>
      </c>
      <c r="M31" s="9">
        <f t="shared" si="4"/>
        <v>1934668800</v>
      </c>
      <c r="N31" s="9"/>
      <c r="O31" s="9">
        <f>O25*P$4</f>
        <v>363916800</v>
      </c>
      <c r="P31" s="24">
        <v>40953600</v>
      </c>
      <c r="Q31" s="8">
        <f t="shared" si="2"/>
        <v>404870400</v>
      </c>
    </row>
    <row r="32" spans="1:17">
      <c r="A32" s="4" t="s">
        <v>20</v>
      </c>
      <c r="B32" s="3">
        <f>B20*$B$38+B21*$B$39+B22*$C$38+B23*$C$39</f>
        <v>88.97</v>
      </c>
      <c r="C32" s="3"/>
      <c r="D32" s="3">
        <f>D20*$B$38+D21*$B$39+D22*$C$38+D23*$C$39</f>
        <v>501.5</v>
      </c>
      <c r="E32" s="3"/>
      <c r="F32" s="16">
        <f>F20*$B$38+F21*$B$39+F22*$C$38+F23*$C$39</f>
        <v>2717.7200000000003</v>
      </c>
      <c r="G32" s="16" t="s">
        <v>44</v>
      </c>
      <c r="H32" s="16" t="s">
        <v>43</v>
      </c>
      <c r="I32" s="16"/>
      <c r="J32" s="19"/>
      <c r="K32" s="9">
        <f>K20*$B$38+K21*$B$39+K22*$C$38+K23*$C$39</f>
        <v>2766.0800000000004</v>
      </c>
      <c r="L32" s="24">
        <v>242.91</v>
      </c>
      <c r="M32" s="9">
        <f>K32+L32</f>
        <v>3008.9900000000002</v>
      </c>
      <c r="N32" s="9"/>
      <c r="O32" s="9">
        <f>O20*$B$38+O21*$B$39+O22*$C$38+O23*$C$39</f>
        <v>2256.75</v>
      </c>
      <c r="P32" s="24">
        <v>242.91000000000003</v>
      </c>
      <c r="Q32" s="8">
        <f t="shared" si="2"/>
        <v>2499.66</v>
      </c>
    </row>
    <row r="33" spans="1:18">
      <c r="A33" s="4" t="s">
        <v>21</v>
      </c>
      <c r="B33" s="3">
        <f>B32*C$4</f>
        <v>184488192</v>
      </c>
      <c r="C33" s="3"/>
      <c r="D33" s="3">
        <f>D32*E$4</f>
        <v>1039910400</v>
      </c>
      <c r="E33" s="3"/>
      <c r="F33" s="16">
        <f>F32*G$4</f>
        <v>5635464192.000001</v>
      </c>
      <c r="G33" s="16">
        <f>F33+H33</f>
        <v>5640506784.000001</v>
      </c>
      <c r="H33" s="16">
        <v>5042592</v>
      </c>
      <c r="I33" s="16"/>
      <c r="J33" s="19"/>
      <c r="K33" s="9">
        <f>K32*L$4</f>
        <v>5735743488.000001</v>
      </c>
      <c r="L33" s="24">
        <v>503698176.00000006</v>
      </c>
      <c r="M33" s="9">
        <f t="shared" ref="M33" si="9">K33+L33</f>
        <v>6239441664.000001</v>
      </c>
      <c r="N33" s="9"/>
      <c r="O33" s="9">
        <f>O32*P$4</f>
        <v>1169899200</v>
      </c>
      <c r="P33" s="24">
        <v>125924544.00000001</v>
      </c>
      <c r="Q33" s="8">
        <f t="shared" si="2"/>
        <v>1295823744</v>
      </c>
    </row>
    <row r="34" spans="1:18">
      <c r="A34" s="4" t="s">
        <v>45</v>
      </c>
      <c r="B34" s="3"/>
      <c r="C34" s="3"/>
      <c r="D34" s="3"/>
      <c r="E34" s="3"/>
      <c r="F34" s="16"/>
      <c r="G34" s="16"/>
      <c r="H34" s="16"/>
      <c r="I34" s="16"/>
      <c r="J34" s="19"/>
      <c r="K34" s="9">
        <f>(K30+K31)/(1920*1080*1000)</f>
        <v>3.45</v>
      </c>
      <c r="L34" s="24">
        <f t="shared" ref="L34" si="10">(L30+L31)/(1920*1080*1000)</f>
        <v>0.14299999999999999</v>
      </c>
      <c r="M34" s="9">
        <f>(M30+M31)/(1920*1080*1000)</f>
        <v>3.593</v>
      </c>
      <c r="N34" s="9"/>
      <c r="O34" s="9">
        <f>(O30+O31)/(1920*1080*1000)</f>
        <v>0.78300000000000003</v>
      </c>
      <c r="P34" s="24">
        <v>3.5749999999999997E-2</v>
      </c>
      <c r="Q34" s="8">
        <f t="shared" si="2"/>
        <v>0.81874999999999998</v>
      </c>
      <c r="R34" s="8">
        <f>M34+Q34*2</f>
        <v>5.2305000000000001</v>
      </c>
    </row>
    <row r="35" spans="1:18">
      <c r="A35" s="4" t="s">
        <v>46</v>
      </c>
      <c r="B35" s="3"/>
      <c r="C35" s="3"/>
      <c r="D35" s="3"/>
      <c r="E35" s="3"/>
      <c r="F35" s="16"/>
      <c r="G35" s="16"/>
      <c r="H35" s="16"/>
      <c r="I35" s="16"/>
      <c r="J35" s="19"/>
      <c r="K35" s="9">
        <f>K32</f>
        <v>2766.0800000000004</v>
      </c>
      <c r="L35" s="24">
        <f>L32</f>
        <v>242.91</v>
      </c>
      <c r="M35" s="9">
        <f>K35+L35</f>
        <v>3008.9900000000002</v>
      </c>
      <c r="N35" s="9"/>
      <c r="O35" s="9">
        <f>O33/(1920*1080)</f>
        <v>564.1875</v>
      </c>
      <c r="P35" s="24">
        <v>60.727500000000013</v>
      </c>
      <c r="Q35" s="8">
        <f>O35+P35</f>
        <v>624.91499999999996</v>
      </c>
      <c r="R35" s="8">
        <f>M35+Q35*2</f>
        <v>4258.82</v>
      </c>
    </row>
    <row r="36" spans="1:18">
      <c r="A36" s="3"/>
      <c r="B36" s="3"/>
      <c r="C36" s="3"/>
      <c r="D36" s="3"/>
      <c r="E36" s="3"/>
      <c r="F36" s="3"/>
      <c r="G36" s="3"/>
      <c r="H36" s="3"/>
      <c r="I36" s="3"/>
      <c r="L36" s="24" t="s">
        <v>50</v>
      </c>
      <c r="P36" s="25"/>
    </row>
    <row r="37" spans="1:18">
      <c r="A37" s="13" t="s">
        <v>34</v>
      </c>
      <c r="B37" s="3" t="s">
        <v>37</v>
      </c>
      <c r="C37" s="3" t="s">
        <v>38</v>
      </c>
      <c r="D37" s="3" t="s">
        <v>39</v>
      </c>
      <c r="E37" s="3" t="s">
        <v>40</v>
      </c>
      <c r="F37" s="3"/>
      <c r="G37" s="3"/>
      <c r="H37" s="3"/>
      <c r="I37" s="3"/>
    </row>
    <row r="38" spans="1:18">
      <c r="A38" s="13" t="s">
        <v>35</v>
      </c>
      <c r="B38" s="3">
        <v>0.03</v>
      </c>
      <c r="C38" s="3">
        <v>0.1</v>
      </c>
      <c r="D38" s="3">
        <v>0.4</v>
      </c>
      <c r="E38" s="3">
        <v>0.9</v>
      </c>
      <c r="F38" s="3"/>
      <c r="G38" s="3"/>
      <c r="H38" s="3"/>
      <c r="I38" s="3"/>
    </row>
    <row r="39" spans="1:18">
      <c r="A39" s="13" t="s">
        <v>36</v>
      </c>
      <c r="B39" s="3">
        <v>0.2</v>
      </c>
      <c r="C39" s="3">
        <v>3.1</v>
      </c>
      <c r="D39" s="3">
        <v>1.1000000000000001</v>
      </c>
      <c r="E39" s="3">
        <v>3.7</v>
      </c>
      <c r="F39" s="3"/>
      <c r="G39" s="3"/>
      <c r="H39" s="3"/>
      <c r="I39" s="3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LUT-ILF++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2026-08-08T07:29:37Z</dcterms:modified>
</cp:coreProperties>
</file>